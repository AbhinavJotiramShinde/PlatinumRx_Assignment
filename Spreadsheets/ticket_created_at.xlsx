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hinav J. Shinde\Documents\Abhinav\Data_Analyst_Assignment\Spreadsheets\"/>
    </mc:Choice>
  </mc:AlternateContent>
  <xr:revisionPtr revIDLastSave="0" documentId="13_ncr:1_{34E16FC0-EDA8-4E61-B729-87C17659E42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utlet_summary" sheetId="3" r:id="rId1"/>
    <sheet name="ticket" sheetId="1" r:id="rId2"/>
    <sheet name="feedbacks" sheetId="2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F2" i="1"/>
  <c r="F3" i="1"/>
  <c r="F4" i="1"/>
  <c r="F5" i="1"/>
  <c r="F6" i="1"/>
  <c r="F7" i="1"/>
  <c r="D2" i="2"/>
  <c r="D3" i="2"/>
</calcChain>
</file>

<file path=xl/sharedStrings.xml><?xml version="1.0" encoding="utf-8"?>
<sst xmlns="http://schemas.openxmlformats.org/spreadsheetml/2006/main" count="38" uniqueCount="29">
  <si>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</si>
  <si>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</si>
  <si>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</si>
  <si>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</si>
  <si>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</si>
  <si>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</si>
  <si>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</si>
  <si>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</si>
  <si>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</si>
  <si>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</si>
  <si>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cms-9922-a1</t>
  </si>
  <si>
    <t>zxc-vbn-111</t>
  </si>
  <si>
    <t>cms-8811-b2</t>
  </si>
  <si>
    <t>rty-uio-222</t>
  </si>
  <si>
    <t>cms-7733-c3</t>
  </si>
  <si>
    <t>fgh-jkl-333</t>
  </si>
  <si>
    <t>cms-6644-d4</t>
  </si>
  <si>
    <t>vbn-mqw-444</t>
  </si>
  <si>
    <t>outlet-xyz-99</t>
  </si>
  <si>
    <t>cms-5555-e5</t>
  </si>
  <si>
    <t>feedback_at</t>
  </si>
  <si>
    <t>feedback_rating</t>
  </si>
  <si>
    <t>ticket_created_at</t>
  </si>
  <si>
    <t>Same_Day</t>
  </si>
  <si>
    <t>Same_Hour</t>
  </si>
  <si>
    <t>Row Labels</t>
  </si>
  <si>
    <t>Grand Total</t>
  </si>
  <si>
    <t>Sum of Same_Day</t>
  </si>
  <si>
    <t>Sum of Same_Hour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</si>
</sst>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[$-F800]dddd\,\ mmmm\ dd\,\ yyyy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165" fontId="0" fillId="0" borderId="0" xfId="0" applyNumberFormat="1"/>
    <xf numFmtId="165" fontId="3" fillId="0" borderId="0" xfId="0" applyNumberFormat="1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2" borderId="0" xfId="0" applyFont="1" applyFill="1"/>
    <xf numFmtId="165" fontId="5" fillId="2" borderId="0" xfId="0" applyNumberFormat="1" applyFont="1" applyFill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nav J. Shinde" refreshedDate="46121.573908217593" createdVersion="8" refreshedVersion="8" minRefreshableVersion="3" recordCount="6" xr:uid="{F6A1628F-9B62-4B9B-8C46-44ECCB75A5F3}">
  <cacheSource type="worksheet">
    <worksheetSource name="Table1"/>
  </cacheSource>
  <cacheFields count="7">
    <cacheField name="ticket_id" numFmtId="0">
      <sharedItems/>
    </cacheField>
    <cacheField name="created_at" numFmtId="164">
      <sharedItems containsSemiMixedTypes="0" containsNonDate="0" containsDate="1" containsString="0" minDate="2021-08-19T16:45:43" maxDate="2021-08-23T11:30:00"/>
    </cacheField>
    <cacheField name="closed_at" numFmtId="164">
      <sharedItems containsSemiMixedTypes="0" containsNonDate="0" containsDate="1" containsString="0" minDate="2021-08-21T14:55:00" maxDate="2021-08-23T11:59:00"/>
    </cacheField>
    <cacheField name="outlet_id" numFmtId="0">
      <sharedItems count="3">
        <s v="wrqy-juv-978"/>
        <s v="8woh-k3u-23b"/>
        <s v="outlet-xyz-99"/>
      </sharedItems>
    </cacheField>
    <cacheField name="cms_id" numFmtId="0">
      <sharedItems/>
    </cacheField>
    <cacheField name="Same_Day" numFmtId="0">
      <sharedItems containsSemiMixedTypes="0" containsString="0" containsNumber="1" containsInteger="1" minValue="0" maxValue="1"/>
    </cacheField>
    <cacheField name="Same_Hou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isu-sjd-457"/>
    <d v="2021-08-19T16:45:43"/>
    <d v="2021-08-22T12:33:32"/>
    <x v="0"/>
    <s v="vew-iuvd-12"/>
    <n v="0"/>
    <n v="0"/>
  </r>
  <r>
    <s v="qer-fal-092"/>
    <d v="2021-08-21T11:09:22"/>
    <d v="2021-08-21T17:13:45"/>
    <x v="1"/>
    <s v="cms-9922-a1"/>
    <n v="1"/>
    <n v="0"/>
  </r>
  <r>
    <s v="zxc-vbn-111"/>
    <d v="2021-08-21T14:10:00"/>
    <d v="2021-08-21T14:55:00"/>
    <x v="0"/>
    <s v="cms-8811-b2"/>
    <n v="1"/>
    <n v="1"/>
  </r>
  <r>
    <s v="rty-uio-222"/>
    <d v="2021-08-22T09:00:00"/>
    <d v="2021-08-22T09:45:00"/>
    <x v="1"/>
    <s v="cms-7733-c3"/>
    <n v="1"/>
    <n v="1"/>
  </r>
  <r>
    <s v="fgh-jkl-333"/>
    <d v="2021-08-22T10:15:00"/>
    <d v="2021-08-22T15:20:00"/>
    <x v="0"/>
    <s v="cms-6644-d4"/>
    <n v="1"/>
    <n v="0"/>
  </r>
  <r>
    <s v="vbn-mqw-444"/>
    <d v="2021-08-23T11:30:00"/>
    <d v="2021-08-23T11:59:00"/>
    <x v="2"/>
    <s v="cms-5555-e5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090E5-C2F8-4626-8019-5F082F5B985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7">
    <pivotField showAll="0"/>
    <pivotField numFmtId="164"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me_Day" fld="5" baseField="0" baseItem="0"/>
    <dataField name="Sum of Same_Hou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91B08-F1F2-4C96-9C60-4EA36285C444}" name="Table1" displayName="Table1" ref="A1:G7" totalsRowShown="0" headerRowDxfId="8" dataDxfId="7">
  <autoFilter ref="A1:G7" xr:uid="{E6491B08-F1F2-4C96-9C60-4EA36285C444}"/>
  <tableColumns count="7">
    <tableColumn id="1" xr3:uid="{72D23055-909B-4F6A-BADD-CD9984B89AD3}" name="ticket_id" dataDxfId="6"/>
    <tableColumn id="2" xr3:uid="{4FF9280B-59D0-41F2-B4E0-C0B40DA06AE6}" name="created_at" dataDxfId="5"/>
    <tableColumn id="3" xr3:uid="{F0D8426D-D615-4C6D-88C4-47FB9EEDEFE7}" name="closed_at" dataDxfId="4"/>
    <tableColumn id="4" xr3:uid="{8101D2AC-E752-40C9-B60B-8ADC3C753BCA}" name="outlet_id" dataDxfId="3"/>
    <tableColumn id="5" xr3:uid="{3E43CDFF-7E69-4520-87D6-FACEEB464ADE}" name="cms_id" dataDxfId="2"/>
    <tableColumn id="7" xr3:uid="{8E445471-7B2E-4440-93AD-FF3DBE74A2DF}" name="Same_Day" dataDxfId="1">
      <calculatedColumnFormula>IF(INT(B2)=INT(C2), 1, 0)</calculatedColumnFormula>
    </tableColumn>
    <tableColumn id="8" xr3:uid="{A4219ED5-7927-439C-AF09-81417E49B762}" name="Same_Hour" dataDxfId="0">
      <calculatedColumnFormula>IF(AND(INT(B2)=INT(C2), HOUR(B2)=HOUR(C2)),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0816-D33E-4605-9B9E-93B0398CBE79}">
  <dimension ref="A3:C7"/>
  <sheetViews>
    <sheetView workbookViewId="0">
      <selection activeCell="B5" sqref="B5"/>
    </sheetView>
  </sheetViews>
  <sheetFormatPr defaultRowHeight="13.2"/>
  <cols>
    <col min="1" max="1" width="13.33203125" bestFit="1" customWidth="1"/>
    <col min="2" max="2" width="16.88671875" bestFit="1" customWidth="1"/>
    <col min="3" max="3" width="18" bestFit="1" customWidth="1"/>
  </cols>
  <sheetData>
    <row r="3" spans="1:3">
      <c r="A3" s="8" t="s">
        <v>25</v>
      </c>
      <c r="B3" t="s">
        <v>27</v>
      </c>
      <c r="C3" t="s">
        <v>28</v>
      </c>
    </row>
    <row r="4" spans="1:3">
      <c r="A4" s="9" t="s">
        <v>9</v>
      </c>
      <c r="B4">
        <v>2</v>
      </c>
      <c r="C4">
        <v>1</v>
      </c>
    </row>
    <row r="5" spans="1:3">
      <c r="A5" s="9" t="s">
        <v>18</v>
      </c>
      <c r="B5">
        <v>1</v>
      </c>
      <c r="C5">
        <v>1</v>
      </c>
    </row>
    <row r="6" spans="1:3">
      <c r="A6" s="9" t="s">
        <v>6</v>
      </c>
      <c r="B6">
        <v>2</v>
      </c>
      <c r="C6">
        <v>1</v>
      </c>
    </row>
    <row r="7" spans="1:3">
      <c r="A7" s="9" t="s">
        <v>26</v>
      </c>
      <c r="B7">
        <v>5</v>
      </c>
      <c r="C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workbookViewId="0">
      <selection activeCell="F2" sqref="F2"/>
    </sheetView>
  </sheetViews>
  <sheetFormatPr defaultColWidth="12.6640625" defaultRowHeight="15.75" customHeight="1"/>
  <cols>
    <col min="2" max="2" width="19.88671875" customWidth="1"/>
    <col min="3" max="3" width="19.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23</v>
      </c>
      <c r="G1" s="7" t="s">
        <v>24</v>
      </c>
    </row>
    <row r="2" spans="1:7">
      <c r="A2" s="1" t="s">
        <v>5</v>
      </c>
      <c r="B2" s="2">
        <v>44427.698414351849</v>
      </c>
      <c r="C2" s="2">
        <v>44430.523287037038</v>
      </c>
      <c r="D2" s="1" t="s">
        <v>6</v>
      </c>
      <c r="E2" s="1" t="s">
        <v>7</v>
      </c>
      <c r="F2" s="4">
        <f t="shared" ref="F2:F7" si="0">IF(INT(B2)=INT(C2), 1, 0)</f>
        <v>0</v>
      </c>
      <c r="G2" s="4">
        <f t="shared" ref="G2:G7" si="1">IF(AND(INT(B2)=INT(C2), HOUR(B2)=HOUR(C2)), 1, 0)</f>
        <v>0</v>
      </c>
    </row>
    <row r="3" spans="1:7">
      <c r="A3" s="1" t="s">
        <v>8</v>
      </c>
      <c r="B3" s="2">
        <v>44429.464837962965</v>
      </c>
      <c r="C3" s="2">
        <v>44429.717881944445</v>
      </c>
      <c r="D3" s="1" t="s">
        <v>9</v>
      </c>
      <c r="E3" s="1" t="s">
        <v>10</v>
      </c>
      <c r="F3" s="7">
        <f t="shared" si="0"/>
        <v>1</v>
      </c>
      <c r="G3" s="7">
        <f t="shared" si="1"/>
        <v>0</v>
      </c>
    </row>
    <row r="4" spans="1:7">
      <c r="A4" s="1" t="s">
        <v>11</v>
      </c>
      <c r="B4" s="2">
        <v>44429.590277777781</v>
      </c>
      <c r="C4" s="2">
        <v>44429.621527777781</v>
      </c>
      <c r="D4" s="1" t="s">
        <v>6</v>
      </c>
      <c r="E4" s="1" t="s">
        <v>12</v>
      </c>
      <c r="F4" s="7">
        <f t="shared" si="0"/>
        <v>1</v>
      </c>
      <c r="G4" s="7">
        <f t="shared" si="1"/>
        <v>1</v>
      </c>
    </row>
    <row r="5" spans="1:7">
      <c r="A5" s="1" t="s">
        <v>13</v>
      </c>
      <c r="B5" s="2">
        <v>44430.375</v>
      </c>
      <c r="C5" s="2">
        <v>44430.40625</v>
      </c>
      <c r="D5" s="1" t="s">
        <v>9</v>
      </c>
      <c r="E5" s="1" t="s">
        <v>14</v>
      </c>
      <c r="F5" s="7">
        <f t="shared" si="0"/>
        <v>1</v>
      </c>
      <c r="G5" s="7">
        <f t="shared" si="1"/>
        <v>1</v>
      </c>
    </row>
    <row r="6" spans="1:7">
      <c r="A6" s="1" t="s">
        <v>15</v>
      </c>
      <c r="B6" s="2">
        <v>44430.427083333336</v>
      </c>
      <c r="C6" s="2">
        <v>44430.638888888891</v>
      </c>
      <c r="D6" s="1" t="s">
        <v>6</v>
      </c>
      <c r="E6" s="1" t="s">
        <v>16</v>
      </c>
      <c r="F6" s="7">
        <f t="shared" si="0"/>
        <v>1</v>
      </c>
      <c r="G6" s="7">
        <f t="shared" si="1"/>
        <v>0</v>
      </c>
    </row>
    <row r="7" spans="1:7">
      <c r="A7" s="1" t="s">
        <v>17</v>
      </c>
      <c r="B7" s="2">
        <v>44431.479166666664</v>
      </c>
      <c r="C7" s="2">
        <v>44431.499305555553</v>
      </c>
      <c r="D7" s="1" t="s">
        <v>18</v>
      </c>
      <c r="E7" s="1" t="s">
        <v>19</v>
      </c>
      <c r="F7" s="7">
        <f t="shared" si="0"/>
        <v>1</v>
      </c>
      <c r="G7" s="7">
        <f t="shared" si="1"/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F52C-A201-4DFE-86D7-1E78063EA75B}">
  <dimension ref="A1:D3"/>
  <sheetViews>
    <sheetView tabSelected="1" workbookViewId="0">
      <selection activeCell="C9" sqref="C9"/>
    </sheetView>
  </sheetViews>
  <sheetFormatPr defaultRowHeight="13.2"/>
  <cols>
    <col min="1" max="1" width="12.5546875" customWidth="1"/>
    <col min="2" max="2" width="15.44140625" customWidth="1"/>
    <col min="3" max="3" width="19.33203125" customWidth="1"/>
    <col min="4" max="4" width="19.44140625" style="5" customWidth="1"/>
  </cols>
  <sheetData>
    <row r="1" spans="1:4">
      <c r="A1" s="10" t="s">
        <v>4</v>
      </c>
      <c r="B1" s="10" t="s">
        <v>20</v>
      </c>
      <c r="C1" s="10" t="s">
        <v>21</v>
      </c>
      <c r="D1" s="11" t="s">
        <v>22</v>
      </c>
    </row>
    <row r="2" spans="1:4">
      <c r="A2" s="3" t="s">
        <v>7</v>
      </c>
      <c r="D2" s="5">
        <f>INDEX(ticket!B:B, MATCH(A2, ticket!E:E, 0))</f>
        <v>44427.698414351849</v>
      </c>
    </row>
    <row r="3" spans="1:4">
      <c r="A3" s="3" t="s">
        <v>10</v>
      </c>
      <c r="D3" s="6">
        <f>INDEX(ticket!B:B, MATCH(A3, ticket!E:E, 0))</f>
        <v>44429.464837962965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outlet_summary</vt:lpstr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J. Shinde</dc:creator>
  <cp:lastModifiedBy>Abhinav Shinde</cp:lastModifiedBy>
  <dcterms:created xsi:type="dcterms:W3CDTF">2026-04-09T06:50:55Z</dcterms:created>
  <dcterms:modified xsi:type="dcterms:W3CDTF">2026-04-09T08:55:50Z</dcterms:modified>
</cp:coreProperties>
</file>